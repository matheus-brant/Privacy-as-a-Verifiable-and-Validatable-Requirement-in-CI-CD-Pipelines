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theus\Downloads\"/>
    </mc:Choice>
  </mc:AlternateContent>
  <xr:revisionPtr revIDLastSave="0" documentId="13_ncr:1_{F985520E-7BB6-4D7C-98FD-766090F7C334}" xr6:coauthVersionLast="47" xr6:coauthVersionMax="47" xr10:uidLastSave="{00000000-0000-0000-0000-000000000000}"/>
  <bookViews>
    <workbookView xWindow="3075" yWindow="3075" windowWidth="21600" windowHeight="11385" xr2:uid="{00000000-000D-0000-FFFF-FFFF00000000}"/>
  </bookViews>
  <sheets>
    <sheet name="Selection_Funnel" sheetId="1" r:id="rId1"/>
    <sheet name="R_Funnel_Input" sheetId="2" r:id="rId2"/>
    <sheet name="Database_Retrieval" sheetId="3" r:id="rId3"/>
    <sheet name="Selection_Transitions" sheetId="4" r:id="rId4"/>
    <sheet name="Method_Not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4" l="1"/>
  <c r="G7" i="4"/>
  <c r="H6" i="4"/>
  <c r="G6" i="4"/>
  <c r="H5" i="4"/>
  <c r="G5" i="4"/>
  <c r="C11" i="3"/>
  <c r="C10" i="3"/>
  <c r="C9" i="3"/>
  <c r="C8" i="3"/>
  <c r="C7" i="3"/>
  <c r="C6" i="3"/>
  <c r="C5" i="3"/>
  <c r="H6" i="1"/>
  <c r="G6" i="1"/>
  <c r="H5" i="1"/>
  <c r="G5" i="1"/>
  <c r="H4" i="1"/>
  <c r="G4" i="1"/>
</calcChain>
</file>

<file path=xl/sharedStrings.xml><?xml version="1.0" encoding="utf-8"?>
<sst xmlns="http://schemas.openxmlformats.org/spreadsheetml/2006/main" count="114" uniqueCount="80">
  <si>
    <t>Selection funnel for tertiary study</t>
  </si>
  <si>
    <t>stage_order</t>
  </si>
  <si>
    <t>stage</t>
  </si>
  <si>
    <t>stage_short_label</t>
  </si>
  <si>
    <t>n_records</t>
  </si>
  <si>
    <t>removed_before_stage</t>
  </si>
  <si>
    <t>figure_removal_label</t>
  </si>
  <si>
    <t>retention_from_previous</t>
  </si>
  <si>
    <t>retention_from_initial</t>
  </si>
  <si>
    <t>action_in_figure</t>
  </si>
  <si>
    <t>notes</t>
  </si>
  <si>
    <t>Retrieved records from selected databases</t>
  </si>
  <si>
    <t>Retrieved</t>
  </si>
  <si>
    <t>Database search across seven sources</t>
  </si>
  <si>
    <t>Sum of database retrieval boxes in Figure 3</t>
  </si>
  <si>
    <t>After duplicate removal in Parsifal</t>
  </si>
  <si>
    <t>Deduplicated</t>
  </si>
  <si>
    <t>-233 papers</t>
  </si>
  <si>
    <t>Remove duplicates in Parsifal</t>
  </si>
  <si>
    <t>Figure 3 label after duplicate removal</t>
  </si>
  <si>
    <t>Eligible after applying selection criteria</t>
  </si>
  <si>
    <t>Eligible</t>
  </si>
  <si>
    <t>-10,461 papers</t>
  </si>
  <si>
    <t>Applying selection criteria</t>
  </si>
  <si>
    <t>Figure 3 label after selection criteria</t>
  </si>
  <si>
    <t>Qualified after quality assessment</t>
  </si>
  <si>
    <t>Qualified</t>
  </si>
  <si>
    <t>-19 papers</t>
  </si>
  <si>
    <t>Applying quality assessment</t>
  </si>
  <si>
    <t>Figure 3 label after quality assessment</t>
  </si>
  <si>
    <t>R-ready input for funnel plot</t>
  </si>
  <si>
    <t>Use stage_order, stage_short_label, and n_records directly in RStudio.</t>
  </si>
  <si>
    <t>n_removed_from_previous</t>
  </si>
  <si>
    <t>removal_label</t>
  </si>
  <si>
    <t>Retrieved records by academic database</t>
  </si>
  <si>
    <t>Counts transcribed from the database retrieval boxes in Figure 3.</t>
  </si>
  <si>
    <t>database</t>
  </si>
  <si>
    <t>retrieved_papers</t>
  </si>
  <si>
    <t>percentage_of_total</t>
  </si>
  <si>
    <t>Scopus</t>
  </si>
  <si>
    <t>Figure 3 database retrieval box</t>
  </si>
  <si>
    <t>MDPI</t>
  </si>
  <si>
    <t>ScienceDirect</t>
  </si>
  <si>
    <t>IEEE Xplore</t>
  </si>
  <si>
    <t>Wiley</t>
  </si>
  <si>
    <t>SpringerLink</t>
  </si>
  <si>
    <t>ACM DL</t>
  </si>
  <si>
    <t>Total</t>
  </si>
  <si>
    <t>Should match retrieved records in Selection_Funnel</t>
  </si>
  <si>
    <t>Selection process transitions</t>
  </si>
  <si>
    <t>Transition-level data for removal and retention rates.</t>
  </si>
  <si>
    <t>transition_order</t>
  </si>
  <si>
    <t>from_stage</t>
  </si>
  <si>
    <t>to_stage</t>
  </si>
  <si>
    <t>records_before</t>
  </si>
  <si>
    <t>removed_records</t>
  </si>
  <si>
    <t>records_after</t>
  </si>
  <si>
    <t>removal_rate</t>
  </si>
  <si>
    <t>retention_rate</t>
  </si>
  <si>
    <t>action</t>
  </si>
  <si>
    <t>figure_label</t>
  </si>
  <si>
    <t>Method note</t>
  </si>
  <si>
    <t>Field</t>
  </si>
  <si>
    <t>Description</t>
  </si>
  <si>
    <t>Workbook purpose</t>
  </si>
  <si>
    <t>Provide structured input for a funnel plot of the tertiary study selection process.</t>
  </si>
  <si>
    <t>Primary source</t>
  </si>
  <si>
    <t>Figure 3 — Tertiary Study Process, Towards Privacy Verification in DevOps Pipelines - A Tertiary Study.</t>
  </si>
  <si>
    <t>Extraction rule</t>
  </si>
  <si>
    <t>Counts were transcribed from the figure boxes. Database counts were summed to validate the initial total.</t>
  </si>
  <si>
    <t>Database total validation</t>
  </si>
  <si>
    <t>Scopus 0 + MDPI 1003 + ScienceDirect 10 + IEEE Xplore 9381 + Wiley 1 + SpringerLink 41 + ACM DL 286 = 10722.</t>
  </si>
  <si>
    <t>Funnel stages</t>
  </si>
  <si>
    <t>Retrieved records; after duplicate removal; eligible after selection criteria; qualified after quality assessment.</t>
  </si>
  <si>
    <t>Removal labels</t>
  </si>
  <si>
    <t>The figure reports -233 papers after duplicate removal, -10,461 papers after selection criteria, and -19 papers after quality assessment.</t>
  </si>
  <si>
    <t>Recommended R use</t>
  </si>
  <si>
    <t>Use the R_Funnel_Input sheet for a simple funnel plot and Selection_Transitions for removal/retention annotations.</t>
  </si>
  <si>
    <t>Limitation note</t>
  </si>
  <si>
    <t>The paper text mentions both eight and nine final selected studies in different places; this workbook follows Figure 3 and the threats-to-validity text indicating 9 final qualified studies.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</si>
</sst>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i/>
      <sz val="10"/>
      <color rgb="FF1F1F1F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4C81"/>
      </patternFill>
    </fill>
    <fill>
      <patternFill patternType="solid">
        <fgColor rgb="FFD9EAF7"/>
      </patternFill>
    </fill>
    <fill>
      <patternFill patternType="solid">
        <fgColor rgb="FF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0" fontId="0" fillId="0" borderId="0" xfId="0" applyNumberFormat="1"/>
    <xf numFmtId="1" fontId="0" fillId="0" borderId="0" xfId="0" applyNumberFormat="1"/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lectionFunnelTable" displayName="SelectionFunnelTable" ref="A2:J6">
  <tableColumns count="10">
    <tableColumn id="1" xr3:uid="{00000000-0010-0000-0000-000001000000}" name="stage_order"/>
    <tableColumn id="2" xr3:uid="{00000000-0010-0000-0000-000002000000}" name="stage"/>
    <tableColumn id="3" xr3:uid="{00000000-0010-0000-0000-000003000000}" name="stage_short_label"/>
    <tableColumn id="4" xr3:uid="{00000000-0010-0000-0000-000004000000}" name="n_records"/>
    <tableColumn id="5" xr3:uid="{00000000-0010-0000-0000-000005000000}" name="removed_before_stage"/>
    <tableColumn id="6" xr3:uid="{00000000-0010-0000-0000-000006000000}" name="figure_removal_label"/>
    <tableColumn id="7" xr3:uid="{00000000-0010-0000-0000-000007000000}" name="retention_from_previous"/>
    <tableColumn id="8" xr3:uid="{00000000-0010-0000-0000-000008000000}" name="retention_from_initial"/>
    <tableColumn id="9" xr3:uid="{00000000-0010-0000-0000-000009000000}" name="action_in_figure"/>
    <tableColumn id="10" xr3:uid="{00000000-0010-0000-0000-00000A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FunnelInputTable" displayName="RFunnelInputTable" ref="A4:F8">
  <tableColumns count="6">
    <tableColumn id="1" xr3:uid="{00000000-0010-0000-0100-000001000000}" name="stage_order"/>
    <tableColumn id="2" xr3:uid="{00000000-0010-0000-0100-000002000000}" name="stage_short_label"/>
    <tableColumn id="3" xr3:uid="{00000000-0010-0000-0100-000003000000}" name="stage"/>
    <tableColumn id="4" xr3:uid="{00000000-0010-0000-0100-000004000000}" name="n_records"/>
    <tableColumn id="5" xr3:uid="{00000000-0010-0000-0100-000005000000}" name="n_removed_from_previous"/>
    <tableColumn id="6" xr3:uid="{00000000-0010-0000-0100-000006000000}" name="removal_lab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baseRetrievalTable" displayName="DatabaseRetrievalTable" ref="A4:D11">
  <tableColumns count="4">
    <tableColumn id="1" xr3:uid="{00000000-0010-0000-0200-000001000000}" name="database"/>
    <tableColumn id="2" xr3:uid="{00000000-0010-0000-0200-000002000000}" name="retrieved_papers"/>
    <tableColumn id="3" xr3:uid="{00000000-0010-0000-0200-000003000000}" name="percentage_of_total"/>
    <tableColumn id="4" xr3:uid="{00000000-0010-0000-0200-000004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electionTransitionsTable" displayName="SelectionTransitionsTable" ref="A4:J7">
  <tableColumns count="10">
    <tableColumn id="1" xr3:uid="{00000000-0010-0000-0300-000001000000}" name="transition_order"/>
    <tableColumn id="2" xr3:uid="{00000000-0010-0000-0300-000002000000}" name="from_stage"/>
    <tableColumn id="3" xr3:uid="{00000000-0010-0000-0300-000003000000}" name="to_stage"/>
    <tableColumn id="4" xr3:uid="{00000000-0010-0000-0300-000004000000}" name="records_before"/>
    <tableColumn id="5" xr3:uid="{00000000-0010-0000-0300-000005000000}" name="removed_records"/>
    <tableColumn id="6" xr3:uid="{00000000-0010-0000-0300-000006000000}" name="records_after"/>
    <tableColumn id="7" xr3:uid="{00000000-0010-0000-0300-000007000000}" name="removal_rate"/>
    <tableColumn id="8" xr3:uid="{00000000-0010-0000-0300-000008000000}" name="retention_rate"/>
    <tableColumn id="9" xr3:uid="{00000000-0010-0000-0300-000009000000}" name="action"/>
    <tableColumn id="10" xr3:uid="{00000000-0010-0000-0300-00000A000000}" name="figure_labe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ethodNoteTable" displayName="MethodNoteTable" ref="A3:B11">
  <tableColumns count="2">
    <tableColumn id="1" xr3:uid="{00000000-0010-0000-0400-000001000000}" name="Field"/>
    <tableColumn id="2" xr3:uid="{00000000-0010-0000-0400-000002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"/>
  <sheetViews>
    <sheetView tabSelected="1" workbookViewId="0">
      <selection activeCell="B11" sqref="B11"/>
    </sheetView>
  </sheetViews>
  <sheetFormatPr defaultRowHeight="14.25"/>
  <cols>
    <col min="1" max="1" width="12" customWidth="1"/>
    <col min="2" max="2" width="34" customWidth="1"/>
    <col min="3" max="3" width="16" customWidth="1"/>
    <col min="4" max="4" width="14" customWidth="1"/>
    <col min="5" max="8" width="18" customWidth="1"/>
    <col min="9" max="9" width="26" customWidth="1"/>
    <col min="10" max="10" width="34" customWidth="1"/>
  </cols>
  <sheetData>
    <row r="1" spans="1:26" ht="24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26">
      <c r="A3">
        <v>1</v>
      </c>
      <c r="B3" t="s">
        <v>11</v>
      </c>
      <c r="C3" t="s">
        <v>12</v>
      </c>
      <c r="D3" s="6">
        <v>10722</v>
      </c>
      <c r="E3" s="6"/>
      <c r="G3" s="5">
        <v>1</v>
      </c>
      <c r="H3" s="5">
        <v>1</v>
      </c>
      <c r="I3" t="s">
        <v>13</v>
      </c>
      <c r="J3" t="s">
        <v>14</v>
      </c>
    </row>
    <row r="4" spans="1:26">
      <c r="A4">
        <v>2</v>
      </c>
      <c r="B4" t="s">
        <v>15</v>
      </c>
      <c r="C4" t="s">
        <v>16</v>
      </c>
      <c r="D4" s="6">
        <v>10489</v>
      </c>
      <c r="E4" s="6">
        <v>233</v>
      </c>
      <c r="F4" t="s">
        <v>17</v>
      </c>
      <c r="G4" s="5">
        <f>D4/D3</f>
        <v>0.97826897966797244</v>
      </c>
      <c r="H4" s="5">
        <f>D4/$D$3</f>
        <v>0.97826897966797244</v>
      </c>
      <c r="I4" t="s">
        <v>18</v>
      </c>
      <c r="J4" t="s">
        <v>19</v>
      </c>
    </row>
    <row r="5" spans="1:26">
      <c r="A5">
        <v>3</v>
      </c>
      <c r="B5" t="s">
        <v>20</v>
      </c>
      <c r="C5" t="s">
        <v>21</v>
      </c>
      <c r="D5" s="6">
        <v>28</v>
      </c>
      <c r="E5" s="6">
        <v>10461</v>
      </c>
      <c r="F5" t="s">
        <v>22</v>
      </c>
      <c r="G5" s="5">
        <f>D5/D4</f>
        <v>2.6694632472113642E-3</v>
      </c>
      <c r="H5" s="5">
        <f>D5/$D$3</f>
        <v>2.6114530871106136E-3</v>
      </c>
      <c r="I5" t="s">
        <v>23</v>
      </c>
      <c r="J5" t="s">
        <v>24</v>
      </c>
    </row>
    <row r="6" spans="1:26">
      <c r="A6">
        <v>4</v>
      </c>
      <c r="B6" t="s">
        <v>25</v>
      </c>
      <c r="C6" t="s">
        <v>26</v>
      </c>
      <c r="D6" s="6">
        <v>9</v>
      </c>
      <c r="E6" s="6">
        <v>19</v>
      </c>
      <c r="F6" t="s">
        <v>27</v>
      </c>
      <c r="G6" s="5">
        <f>D6/D5</f>
        <v>0.32142857142857145</v>
      </c>
      <c r="H6" s="5">
        <f>D6/$D$3</f>
        <v>8.3939563514269728E-4</v>
      </c>
      <c r="I6" t="s">
        <v>28</v>
      </c>
      <c r="J6" t="s">
        <v>29</v>
      </c>
    </row>
  </sheetData>
  <mergeCells count="1">
    <mergeCell ref="A1:J1"/>
  </mergeCells>
  <conditionalFormatting sqref="D3:D6">
    <cfRule type="dataBar" priority="1">
      <dataBar>
        <cfvo type="min"/>
        <cfvo type="max"/>
        <color rgb="FFADD8E6"/>
      </dataBar>
    </cfRule>
    <cfRule type="dataBar" priority="2">
      <dataBar>
        <cfvo type="min"/>
        <cfvo type="max"/>
        <color rgb="FFADD8E6"/>
      </dataBar>
      <extLst>
        <ext xmlns:x14="http://schemas.microsoft.com/office/spreadsheetml/2009/9/main" uri="{B025F937-C7B1-47D3-B67F-A62EFF666E3E}">
          <x14:id>{47B12DA7-78BB-92B7-05A5-8C6F6CF09EEF}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B12DA7-78BB-92B7-05A5-8C6F6CF09EEF}">
            <x14:dataBar>
              <x14:cfvo type="min"/>
              <x14:cfvo type="max"/>
              <x14:negativeFillColor auto="1"/>
              <x14:axisColor auto="1"/>
            </x14:dataBar>
          </x14:cfRule>
          <xm:sqref>D3:D6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"/>
  <sheetViews>
    <sheetView workbookViewId="0"/>
  </sheetViews>
  <sheetFormatPr defaultRowHeight="14.25"/>
  <cols>
    <col min="1" max="1" width="12" customWidth="1"/>
    <col min="2" max="2" width="16" customWidth="1"/>
    <col min="3" max="3" width="36" customWidth="1"/>
    <col min="4" max="4" width="14" customWidth="1"/>
    <col min="5" max="5" width="20" customWidth="1"/>
    <col min="6" max="6" width="16" customWidth="1"/>
  </cols>
  <sheetData>
    <row r="1" spans="1:26" ht="24" customHeight="1">
      <c r="A1" s="3" t="s">
        <v>30</v>
      </c>
      <c r="B1" s="3"/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89.25">
      <c r="A2" s="1" t="s">
        <v>31</v>
      </c>
      <c r="B2" s="1"/>
      <c r="C2" s="1"/>
      <c r="D2" s="1"/>
      <c r="E2" s="1"/>
      <c r="F2" s="1"/>
    </row>
    <row r="4" spans="1:26" ht="30">
      <c r="A4" s="2" t="s">
        <v>1</v>
      </c>
      <c r="B4" s="2" t="s">
        <v>3</v>
      </c>
      <c r="C4" s="2" t="s">
        <v>2</v>
      </c>
      <c r="D4" s="2" t="s">
        <v>4</v>
      </c>
      <c r="E4" s="2" t="s">
        <v>32</v>
      </c>
      <c r="F4" s="2" t="s">
        <v>33</v>
      </c>
    </row>
    <row r="5" spans="1:26">
      <c r="A5">
        <v>1</v>
      </c>
      <c r="B5" t="s">
        <v>12</v>
      </c>
      <c r="C5" t="s">
        <v>11</v>
      </c>
      <c r="D5" s="6">
        <v>10722</v>
      </c>
      <c r="E5" s="6"/>
    </row>
    <row r="6" spans="1:26">
      <c r="A6">
        <v>2</v>
      </c>
      <c r="B6" t="s">
        <v>16</v>
      </c>
      <c r="C6" t="s">
        <v>15</v>
      </c>
      <c r="D6" s="6">
        <v>10489</v>
      </c>
      <c r="E6" s="6">
        <v>233</v>
      </c>
      <c r="F6" t="s">
        <v>17</v>
      </c>
    </row>
    <row r="7" spans="1:26">
      <c r="A7">
        <v>3</v>
      </c>
      <c r="B7" t="s">
        <v>21</v>
      </c>
      <c r="C7" t="s">
        <v>20</v>
      </c>
      <c r="D7" s="6">
        <v>28</v>
      </c>
      <c r="E7" s="6">
        <v>10461</v>
      </c>
      <c r="F7" t="s">
        <v>22</v>
      </c>
    </row>
    <row r="8" spans="1:26">
      <c r="A8">
        <v>4</v>
      </c>
      <c r="B8" t="s">
        <v>26</v>
      </c>
      <c r="C8" t="s">
        <v>25</v>
      </c>
      <c r="D8" s="6">
        <v>9</v>
      </c>
      <c r="E8" s="6">
        <v>19</v>
      </c>
      <c r="F8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3"/>
  <sheetViews>
    <sheetView workbookViewId="0"/>
  </sheetViews>
  <sheetFormatPr defaultRowHeight="14.25"/>
  <cols>
    <col min="1" max="2" width="18" customWidth="1"/>
    <col min="3" max="3" width="20" customWidth="1"/>
    <col min="4" max="4" width="38" customWidth="1"/>
  </cols>
  <sheetData>
    <row r="1" spans="1:26" ht="24" customHeight="1">
      <c r="A1" s="3" t="s">
        <v>34</v>
      </c>
      <c r="B1" s="3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51">
      <c r="A2" s="1" t="s">
        <v>35</v>
      </c>
      <c r="B2" s="1"/>
      <c r="C2" s="1"/>
      <c r="D2" s="1"/>
    </row>
    <row r="4" spans="1:26" ht="15">
      <c r="A4" s="2" t="s">
        <v>36</v>
      </c>
      <c r="B4" s="2" t="s">
        <v>37</v>
      </c>
      <c r="C4" s="2" t="s">
        <v>38</v>
      </c>
      <c r="D4" s="2" t="s">
        <v>10</v>
      </c>
    </row>
    <row r="5" spans="1:26">
      <c r="A5" t="s">
        <v>39</v>
      </c>
      <c r="B5" s="6">
        <v>0</v>
      </c>
      <c r="C5" s="5">
        <f t="shared" ref="C5:C11" si="0">B5/SUM($B$5:$B$11)</f>
        <v>0</v>
      </c>
      <c r="D5" t="s">
        <v>40</v>
      </c>
    </row>
    <row r="6" spans="1:26">
      <c r="A6" t="s">
        <v>41</v>
      </c>
      <c r="B6" s="6">
        <v>1003</v>
      </c>
      <c r="C6" s="5">
        <f t="shared" si="0"/>
        <v>9.3545980227569478E-2</v>
      </c>
      <c r="D6" t="s">
        <v>40</v>
      </c>
    </row>
    <row r="7" spans="1:26">
      <c r="A7" t="s">
        <v>42</v>
      </c>
      <c r="B7" s="6">
        <v>10</v>
      </c>
      <c r="C7" s="5">
        <f t="shared" si="0"/>
        <v>9.3266181682521922E-4</v>
      </c>
      <c r="D7" t="s">
        <v>40</v>
      </c>
    </row>
    <row r="8" spans="1:26">
      <c r="A8" t="s">
        <v>43</v>
      </c>
      <c r="B8" s="6">
        <v>9381</v>
      </c>
      <c r="C8" s="5">
        <f t="shared" si="0"/>
        <v>0.87493005036373805</v>
      </c>
      <c r="D8" t="s">
        <v>40</v>
      </c>
    </row>
    <row r="9" spans="1:26">
      <c r="A9" t="s">
        <v>44</v>
      </c>
      <c r="B9" s="6">
        <v>1</v>
      </c>
      <c r="C9" s="5">
        <f t="shared" si="0"/>
        <v>9.3266181682521916E-5</v>
      </c>
      <c r="D9" t="s">
        <v>40</v>
      </c>
    </row>
    <row r="10" spans="1:26">
      <c r="A10" t="s">
        <v>45</v>
      </c>
      <c r="B10" s="6">
        <v>41</v>
      </c>
      <c r="C10" s="5">
        <f t="shared" si="0"/>
        <v>3.8239134489833986E-3</v>
      </c>
      <c r="D10" t="s">
        <v>40</v>
      </c>
    </row>
    <row r="11" spans="1:26">
      <c r="A11" t="s">
        <v>46</v>
      </c>
      <c r="B11" s="6">
        <v>286</v>
      </c>
      <c r="C11" s="5">
        <f t="shared" si="0"/>
        <v>2.6674127961201267E-2</v>
      </c>
      <c r="D11" t="s">
        <v>40</v>
      </c>
    </row>
    <row r="12" spans="1:26">
      <c r="B12" s="6"/>
      <c r="C12" s="5"/>
    </row>
    <row r="13" spans="1:26">
      <c r="A13" t="s">
        <v>47</v>
      </c>
      <c r="B13" s="6">
        <v>10722</v>
      </c>
      <c r="C13" s="5">
        <v>1</v>
      </c>
      <c r="D13" t="s">
        <v>48</v>
      </c>
    </row>
  </sheetData>
  <conditionalFormatting sqref="B5:B11">
    <cfRule type="dataBar" priority="1">
      <dataBar>
        <cfvo type="min"/>
        <cfvo type="max"/>
        <color rgb="FFADD8E6"/>
      </dataBar>
    </cfRule>
    <cfRule type="dataBar" priority="2">
      <dataBar>
        <cfvo type="min"/>
        <cfvo type="max"/>
        <color rgb="FFADD8E6"/>
      </dataBar>
      <extLst>
        <ext xmlns:x14="http://schemas.microsoft.com/office/spreadsheetml/2009/9/main" uri="{B025F937-C7B1-47D3-B67F-A62EFF666E3E}">
          <x14:id>{B293B05B-2D08-753A-D41D-93B9D30707C7}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93B05B-2D08-753A-D41D-93B9D30707C7}">
            <x14:dataBar>
              <x14:cfvo type="min"/>
              <x14:cfvo type="max"/>
              <x14:negativeFillColor auto="1"/>
              <x14:axisColor auto="1"/>
            </x14:dataBar>
          </x14:cfRule>
          <xm:sqref>B5:B11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"/>
  <sheetViews>
    <sheetView workbookViewId="0"/>
  </sheetViews>
  <sheetFormatPr defaultRowHeight="14.25"/>
  <cols>
    <col min="1" max="1" width="14" customWidth="1"/>
    <col min="2" max="3" width="34" customWidth="1"/>
    <col min="4" max="6" width="16" customWidth="1"/>
    <col min="7" max="8" width="15" customWidth="1"/>
    <col min="9" max="9" width="28" customWidth="1"/>
    <col min="10" max="10" width="16" customWidth="1"/>
  </cols>
  <sheetData>
    <row r="1" spans="1:26" ht="24" customHeight="1">
      <c r="A1" s="3" t="s">
        <v>49</v>
      </c>
      <c r="B1" s="3"/>
      <c r="C1" s="3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51">
      <c r="A2" s="1" t="s">
        <v>50</v>
      </c>
      <c r="B2" s="1"/>
      <c r="C2" s="1"/>
      <c r="D2" s="1"/>
      <c r="E2" s="1"/>
      <c r="F2" s="1"/>
      <c r="G2" s="1"/>
      <c r="H2" s="1"/>
      <c r="I2" s="1"/>
      <c r="J2" s="1"/>
    </row>
    <row r="4" spans="1:26" ht="30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  <c r="H4" s="2" t="s">
        <v>58</v>
      </c>
      <c r="I4" s="2" t="s">
        <v>59</v>
      </c>
      <c r="J4" s="2" t="s">
        <v>60</v>
      </c>
    </row>
    <row r="5" spans="1:26">
      <c r="A5">
        <v>1</v>
      </c>
      <c r="B5" t="s">
        <v>11</v>
      </c>
      <c r="C5" t="s">
        <v>15</v>
      </c>
      <c r="D5" s="6">
        <v>10722</v>
      </c>
      <c r="E5" s="6">
        <v>233</v>
      </c>
      <c r="F5" s="6">
        <v>10489</v>
      </c>
      <c r="G5" s="5">
        <f>E5/D5</f>
        <v>2.1731020332027607E-2</v>
      </c>
      <c r="H5" s="5">
        <f>F5/D5</f>
        <v>0.97826897966797244</v>
      </c>
      <c r="I5" t="s">
        <v>18</v>
      </c>
      <c r="J5" t="s">
        <v>17</v>
      </c>
    </row>
    <row r="6" spans="1:26">
      <c r="A6">
        <v>2</v>
      </c>
      <c r="B6" t="s">
        <v>15</v>
      </c>
      <c r="C6" t="s">
        <v>20</v>
      </c>
      <c r="D6" s="6">
        <v>10489</v>
      </c>
      <c r="E6" s="6">
        <v>10461</v>
      </c>
      <c r="F6" s="6">
        <v>28</v>
      </c>
      <c r="G6" s="5">
        <f>E6/D6</f>
        <v>0.9973305367527886</v>
      </c>
      <c r="H6" s="5">
        <f>F6/D6</f>
        <v>2.6694632472113642E-3</v>
      </c>
      <c r="I6" t="s">
        <v>23</v>
      </c>
      <c r="J6" t="s">
        <v>22</v>
      </c>
    </row>
    <row r="7" spans="1:26">
      <c r="A7">
        <v>3</v>
      </c>
      <c r="B7" t="s">
        <v>20</v>
      </c>
      <c r="C7" t="s">
        <v>25</v>
      </c>
      <c r="D7" s="6">
        <v>28</v>
      </c>
      <c r="E7" s="6">
        <v>19</v>
      </c>
      <c r="F7" s="6">
        <v>9</v>
      </c>
      <c r="G7" s="5">
        <f>E7/D7</f>
        <v>0.6785714285714286</v>
      </c>
      <c r="H7" s="5">
        <f>F7/D7</f>
        <v>0.32142857142857145</v>
      </c>
      <c r="I7" t="s">
        <v>28</v>
      </c>
      <c r="J7" t="s">
        <v>27</v>
      </c>
    </row>
  </sheetData>
  <conditionalFormatting sqref="E5:E7">
    <cfRule type="dataBar" priority="1">
      <dataBar>
        <cfvo type="min"/>
        <cfvo type="max"/>
        <color rgb="FFD9D9D9"/>
      </dataBar>
    </cfRule>
    <cfRule type="dataBar" priority="2">
      <dataBar>
        <cfvo type="min"/>
        <cfvo type="max"/>
        <color rgb="FFD9D9D9"/>
      </dataBar>
      <extLst>
        <ext xmlns:x14="http://schemas.microsoft.com/office/spreadsheetml/2009/9/main" uri="{B025F937-C7B1-47D3-B67F-A62EFF666E3E}">
          <x14:id>{7F7F6D37-A086-64F2-050E-F29388CF18AC}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7F6D37-A086-64F2-050E-F29388CF18AC}">
            <x14:dataBar>
              <x14:cfvo type="min"/>
              <x14:cfvo type="max"/>
              <x14:negativeFillColor auto="1"/>
              <x14:axisColor auto="1"/>
            </x14:dataBar>
          </x14:cfRule>
          <xm:sqref>E5:E7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1"/>
  <sheetViews>
    <sheetView workbookViewId="0"/>
  </sheetViews>
  <sheetFormatPr defaultRowHeight="14.25"/>
  <cols>
    <col min="1" max="1" width="26" customWidth="1"/>
    <col min="2" max="2" width="90" customWidth="1"/>
  </cols>
  <sheetData>
    <row r="1" spans="1:26" ht="24" customHeight="1">
      <c r="A1" s="3" t="s">
        <v>61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3" spans="1:26" ht="15">
      <c r="A3" s="2" t="s">
        <v>62</v>
      </c>
      <c r="B3" s="2" t="s">
        <v>63</v>
      </c>
    </row>
    <row r="4" spans="1:26">
      <c r="A4" t="s">
        <v>64</v>
      </c>
      <c r="B4" t="s">
        <v>65</v>
      </c>
    </row>
    <row r="5" spans="1:26">
      <c r="A5" t="s">
        <v>66</v>
      </c>
      <c r="B5" t="s">
        <v>67</v>
      </c>
    </row>
    <row r="6" spans="1:26">
      <c r="A6" t="s">
        <v>68</v>
      </c>
      <c r="B6" t="s">
        <v>69</v>
      </c>
    </row>
    <row r="7" spans="1:26">
      <c r="A7" t="s">
        <v>70</v>
      </c>
      <c r="B7" t="s">
        <v>71</v>
      </c>
    </row>
    <row r="8" spans="1:26">
      <c r="A8" t="s">
        <v>72</v>
      </c>
      <c r="B8" t="s">
        <v>73</v>
      </c>
    </row>
    <row r="9" spans="1:26">
      <c r="A9" t="s">
        <v>74</v>
      </c>
      <c r="B9" t="s">
        <v>75</v>
      </c>
    </row>
    <row r="10" spans="1:26">
      <c r="A10" t="s">
        <v>76</v>
      </c>
      <c r="B10" t="s">
        <v>77</v>
      </c>
    </row>
    <row r="11" spans="1:26">
      <c r="A11" t="s">
        <v>78</v>
      </c>
      <c r="B11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Selection_Funnel</vt:lpstr>
      <vt:lpstr>R_Funnel_Input</vt:lpstr>
      <vt:lpstr>Database_Retrieval</vt:lpstr>
      <vt:lpstr>Selection_Transitions</vt:lpstr>
      <vt:lpstr>Method_Note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Matheus</cp:lastModifiedBy>
  <dcterms:modified xsi:type="dcterms:W3CDTF">2026-07-05T00:02:34Z</dcterms:modified>
</cp:coreProperties>
</file>